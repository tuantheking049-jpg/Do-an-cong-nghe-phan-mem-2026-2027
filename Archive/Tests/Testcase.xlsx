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5B20809-65AB-4BC8-B4BF-578B697E6DF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 case" sheetId="1" r:id="rId1"/>
    <sheet name="Tổng hợp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2" l="1"/>
  <c r="B4" i="2"/>
  <c r="B3" i="2"/>
  <c r="B7" i="2" s="1"/>
  <c r="B6" i="2" l="1"/>
</calcChain>
</file>

<file path=xl/sharedStrings.xml><?xml version="1.0" encoding="utf-8"?>
<sst xmlns="http://schemas.openxmlformats.org/spreadsheetml/2006/main" count="112" uniqueCount="86">
  <si>
    <t>Mã TC</t>
  </si>
  <si>
    <t>Chức năng</t>
  </si>
  <si>
    <t>Mô tả</t>
  </si>
  <si>
    <t>Dữ liệu đầu vào</t>
  </si>
  <si>
    <t>Kết quả mong đợi</t>
  </si>
  <si>
    <t>Kết quả thực tế</t>
  </si>
  <si>
    <t>Pass/Fail</t>
  </si>
  <si>
    <t>Ghi chú</t>
  </si>
  <si>
    <t>TC-01</t>
  </si>
  <si>
    <t>Kiểm tra server</t>
  </si>
  <si>
    <t>Server đang chạy</t>
  </si>
  <si>
    <t>GET /api/hello</t>
  </si>
  <si>
    <t>Không có</t>
  </si>
  <si>
    <t>HTTP 200, nội dung: Backend is running successfully!</t>
  </si>
  <si>
    <t>TC-02</t>
  </si>
  <si>
    <t>Kiểm tra database</t>
  </si>
  <si>
    <t>Backend kết nối được SQL Server</t>
  </si>
  <si>
    <t>GET /api/db-check</t>
  </si>
  <si>
    <t>HTTP 200, nội dung: SQL Server connected successfully!</t>
  </si>
  <si>
    <t>TC-03</t>
  </si>
  <si>
    <t>Role</t>
  </si>
  <si>
    <t>Lấy danh sách role</t>
  </si>
  <si>
    <t>GET /api/roles</t>
  </si>
  <si>
    <t>HTTP 200, danh sách gồm 2 role: Admin, User</t>
  </si>
  <si>
    <t>TC-04</t>
  </si>
  <si>
    <t>User</t>
  </si>
  <si>
    <t>Lấy danh sách user</t>
  </si>
  <si>
    <t>GET /api/users</t>
  </si>
  <si>
    <t>HTTP 200, danh sách có tài khoản admin@gmail.com và user@gmail.com</t>
  </si>
  <si>
    <t>TC-05</t>
  </si>
  <si>
    <t>Lấy user theo ID tồn tại</t>
  </si>
  <si>
    <t>GET /api/users/1</t>
  </si>
  <si>
    <t>ID = 1</t>
  </si>
  <si>
    <t>HTTP 200, trả về thông tin user có ID 1</t>
  </si>
  <si>
    <t>TC-06</t>
  </si>
  <si>
    <t>Lấy user theo ID không tồn tại</t>
  </si>
  <si>
    <t>GET /api/users/9999</t>
  </si>
  <si>
    <t>ID = 9999</t>
  </si>
  <si>
    <t>HTTP 404</t>
  </si>
  <si>
    <t>TC-07</t>
  </si>
  <si>
    <t>Dữ liệu user không chứa mật khẩu</t>
  </si>
  <si>
    <t>HTTP 200, response không có trường passwordHash</t>
  </si>
  <si>
    <t>TC-08</t>
  </si>
  <si>
    <t>Đăng ký</t>
  </si>
  <si>
    <t>Đăng ký với dữ liệu hợp lệ</t>
  </si>
  <si>
    <t>POST /api/auth/register</t>
  </si>
  <si>
    <t>{"fullName":"Test","email":"test@gmail.com","password":"12345678"}</t>
  </si>
  <si>
    <t>HTTP 201, nội dung: Đăng ký tài khoản thành công</t>
  </si>
  <si>
    <t>TC-09</t>
  </si>
  <si>
    <t>Đăng ký với email đã tồn tại</t>
  </si>
  <si>
    <t>{"fullName":"Test","email":"admin@gmail.com","password":"12345678"}</t>
  </si>
  <si>
    <t>HTTP 4xx kèm thông báo email đã được sử dụng, không trả về lỗi 500</t>
  </si>
  <si>
    <t>TC-10</t>
  </si>
  <si>
    <t>Đăng ký với email sai định dạng</t>
  </si>
  <si>
    <t>{"fullName":"Test","email":"khong-phai-email","password":"12345678"}</t>
  </si>
  <si>
    <t>HTTP 400</t>
  </si>
  <si>
    <t>TC-11</t>
  </si>
  <si>
    <t>Đăng ký với mật khẩu dưới 8 ký tự</t>
  </si>
  <si>
    <t>{"fullName":"Test","email":"test2@gmail.com","password":"1234567"}</t>
  </si>
  <si>
    <t>TC-12</t>
  </si>
  <si>
    <t>Đăng ký với họ tên để trống</t>
  </si>
  <si>
    <t>{"fullName":"","email":"test3@gmail.com","password":"12345678"}</t>
  </si>
  <si>
    <t>TC-13</t>
  </si>
  <si>
    <t>Đăng nhập</t>
  </si>
  <si>
    <t>Đăng nhập đúng email và mật khẩu</t>
  </si>
  <si>
    <t>POST /api/auth/login</t>
  </si>
  <si>
    <t>{"email":"admin@gmail.com","password":"12345678"}</t>
  </si>
  <si>
    <t>HTTP 200, nội dung: Đăng nhập thành công</t>
  </si>
  <si>
    <t>TC-14</t>
  </si>
  <si>
    <t>Đăng nhập sai mật khẩu</t>
  </si>
  <si>
    <t>{"email":"admin@gmail.com","password":"saimatkhau"}</t>
  </si>
  <si>
    <t>HTTP 4xx kèm thông báo: Email hoặc mật khẩu không chính xác</t>
  </si>
  <si>
    <t>TC-15</t>
  </si>
  <si>
    <t>Đăng nhập với email không tồn tại</t>
  </si>
  <si>
    <t>{"email":"khongco@gmail.com","password":"12345678"}</t>
  </si>
  <si>
    <t>TC-16</t>
  </si>
  <si>
    <t>Đăng nhập thiếu mật khẩu</t>
  </si>
  <si>
    <t>{"email":"admin@gmail.com"}</t>
  </si>
  <si>
    <t>TỔNG HỢP KẾT QUẢ</t>
  </si>
  <si>
    <t>Tổng số test case</t>
  </si>
  <si>
    <t>Pass</t>
  </si>
  <si>
    <t>Fail</t>
  </si>
  <si>
    <t>Chưa chạy</t>
  </si>
  <si>
    <t>Tỷ lệ Pass</t>
  </si>
  <si>
    <t>Bảng Testcase</t>
  </si>
  <si>
    <t xml:space="preserve">Request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</si>
</sst>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9"/>
      <name val="Consolas"/>
      <charset val="1"/>
    </font>
    <font>
      <b/>
      <sz val="11"/>
      <name val="Arial"/>
      <charset val="1"/>
    </font>
    <font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1" fillId="0" borderId="0" xfId="0" applyFont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zoomScaleNormal="100" workbookViewId="0">
      <pane ySplit="3" topLeftCell="A4" activePane="bottomLeft" state="frozen"/>
      <selection pane="bottomLeft" activeCell="D3" sqref="D3"/>
    </sheetView>
  </sheetViews>
  <sheetFormatPr defaultColWidth="8.7109375" defaultRowHeight="15" x14ac:dyDescent="0.25"/>
  <cols>
    <col min="1" max="1" width="9" customWidth="1"/>
    <col min="2" max="2" width="16" customWidth="1"/>
    <col min="3" max="3" width="34" customWidth="1"/>
    <col min="4" max="4" width="28" customWidth="1"/>
    <col min="5" max="5" width="46" customWidth="1"/>
    <col min="6" max="6" width="44" customWidth="1"/>
    <col min="7" max="7" width="34" customWidth="1"/>
    <col min="8" max="8" width="12" customWidth="1"/>
    <col min="9" max="9" width="24" customWidth="1"/>
  </cols>
  <sheetData>
    <row r="1" spans="1:9" ht="27.75" customHeight="1" x14ac:dyDescent="0.25">
      <c r="A1" s="13" t="s">
        <v>84</v>
      </c>
      <c r="B1" s="13"/>
      <c r="C1" s="13"/>
      <c r="D1" s="13"/>
      <c r="E1" s="13"/>
      <c r="F1" s="13"/>
      <c r="G1" s="13"/>
      <c r="H1" s="13"/>
      <c r="I1" s="13"/>
    </row>
    <row r="2" spans="1:9" x14ac:dyDescent="0.25">
      <c r="A2" s="14"/>
      <c r="B2" s="14"/>
      <c r="C2" s="14"/>
      <c r="D2" s="14"/>
      <c r="E2" s="14"/>
      <c r="F2" s="14"/>
      <c r="G2" s="14"/>
      <c r="H2" s="14"/>
      <c r="I2" s="14"/>
    </row>
    <row r="3" spans="1:9" ht="24" customHeight="1" x14ac:dyDescent="0.25">
      <c r="A3" s="1" t="s">
        <v>0</v>
      </c>
      <c r="B3" s="1" t="s">
        <v>1</v>
      </c>
      <c r="C3" s="1" t="s">
        <v>2</v>
      </c>
      <c r="D3" s="1" t="s">
        <v>85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1:9" ht="43.5" customHeight="1" x14ac:dyDescent="0.25">
      <c r="A4" s="2" t="s">
        <v>8</v>
      </c>
      <c r="B4" s="3" t="s">
        <v>9</v>
      </c>
      <c r="C4" s="3" t="s">
        <v>10</v>
      </c>
      <c r="D4" s="3" t="s">
        <v>11</v>
      </c>
      <c r="E4" s="4" t="s">
        <v>12</v>
      </c>
      <c r="F4" s="3" t="s">
        <v>13</v>
      </c>
      <c r="G4" s="5"/>
      <c r="H4" s="6"/>
      <c r="I4" s="3"/>
    </row>
    <row r="5" spans="1:9" ht="43.5" customHeight="1" x14ac:dyDescent="0.25">
      <c r="A5" s="2" t="s">
        <v>14</v>
      </c>
      <c r="B5" s="3" t="s">
        <v>15</v>
      </c>
      <c r="C5" s="3" t="s">
        <v>16</v>
      </c>
      <c r="D5" s="3" t="s">
        <v>17</v>
      </c>
      <c r="E5" s="4" t="s">
        <v>12</v>
      </c>
      <c r="F5" s="3" t="s">
        <v>18</v>
      </c>
      <c r="G5" s="5"/>
      <c r="H5" s="6"/>
      <c r="I5" s="3"/>
    </row>
    <row r="6" spans="1:9" ht="43.5" customHeight="1" x14ac:dyDescent="0.25">
      <c r="A6" s="2" t="s">
        <v>19</v>
      </c>
      <c r="B6" s="3" t="s">
        <v>20</v>
      </c>
      <c r="C6" s="3" t="s">
        <v>21</v>
      </c>
      <c r="D6" s="3" t="s">
        <v>22</v>
      </c>
      <c r="E6" s="4" t="s">
        <v>12</v>
      </c>
      <c r="F6" s="3" t="s">
        <v>23</v>
      </c>
      <c r="G6" s="5"/>
      <c r="H6" s="6"/>
      <c r="I6" s="3"/>
    </row>
    <row r="7" spans="1:9" ht="43.5" customHeight="1" x14ac:dyDescent="0.25">
      <c r="A7" s="2" t="s">
        <v>24</v>
      </c>
      <c r="B7" s="3" t="s">
        <v>25</v>
      </c>
      <c r="C7" s="3" t="s">
        <v>26</v>
      </c>
      <c r="D7" s="3" t="s">
        <v>27</v>
      </c>
      <c r="E7" s="4" t="s">
        <v>12</v>
      </c>
      <c r="F7" s="3" t="s">
        <v>28</v>
      </c>
      <c r="G7" s="5"/>
      <c r="H7" s="6"/>
      <c r="I7" s="3"/>
    </row>
    <row r="8" spans="1:9" ht="43.5" customHeight="1" x14ac:dyDescent="0.25">
      <c r="A8" s="2" t="s">
        <v>29</v>
      </c>
      <c r="B8" s="3" t="s">
        <v>25</v>
      </c>
      <c r="C8" s="3" t="s">
        <v>30</v>
      </c>
      <c r="D8" s="3" t="s">
        <v>31</v>
      </c>
      <c r="E8" s="4" t="s">
        <v>32</v>
      </c>
      <c r="F8" s="3" t="s">
        <v>33</v>
      </c>
      <c r="G8" s="5"/>
      <c r="H8" s="6"/>
      <c r="I8" s="3"/>
    </row>
    <row r="9" spans="1:9" ht="43.5" customHeight="1" x14ac:dyDescent="0.25">
      <c r="A9" s="2" t="s">
        <v>34</v>
      </c>
      <c r="B9" s="3" t="s">
        <v>25</v>
      </c>
      <c r="C9" s="3" t="s">
        <v>35</v>
      </c>
      <c r="D9" s="3" t="s">
        <v>36</v>
      </c>
      <c r="E9" s="4" t="s">
        <v>37</v>
      </c>
      <c r="F9" s="3" t="s">
        <v>38</v>
      </c>
      <c r="G9" s="5"/>
      <c r="H9" s="6"/>
      <c r="I9" s="3"/>
    </row>
    <row r="10" spans="1:9" ht="43.5" customHeight="1" x14ac:dyDescent="0.25">
      <c r="A10" s="2" t="s">
        <v>39</v>
      </c>
      <c r="B10" s="3" t="s">
        <v>25</v>
      </c>
      <c r="C10" s="3" t="s">
        <v>40</v>
      </c>
      <c r="D10" s="3" t="s">
        <v>31</v>
      </c>
      <c r="E10" s="4" t="s">
        <v>32</v>
      </c>
      <c r="F10" s="3" t="s">
        <v>41</v>
      </c>
      <c r="G10" s="5"/>
      <c r="H10" s="6"/>
      <c r="I10" s="3"/>
    </row>
    <row r="11" spans="1:9" ht="43.5" customHeight="1" x14ac:dyDescent="0.25">
      <c r="A11" s="2" t="s">
        <v>42</v>
      </c>
      <c r="B11" s="3" t="s">
        <v>43</v>
      </c>
      <c r="C11" s="3" t="s">
        <v>44</v>
      </c>
      <c r="D11" s="3" t="s">
        <v>45</v>
      </c>
      <c r="E11" s="4" t="s">
        <v>46</v>
      </c>
      <c r="F11" s="3" t="s">
        <v>47</v>
      </c>
      <c r="G11" s="5"/>
      <c r="H11" s="6"/>
      <c r="I11" s="3"/>
    </row>
    <row r="12" spans="1:9" ht="43.5" customHeight="1" x14ac:dyDescent="0.25">
      <c r="A12" s="2" t="s">
        <v>48</v>
      </c>
      <c r="B12" s="3" t="s">
        <v>43</v>
      </c>
      <c r="C12" s="3" t="s">
        <v>49</v>
      </c>
      <c r="D12" s="3" t="s">
        <v>45</v>
      </c>
      <c r="E12" s="4" t="s">
        <v>50</v>
      </c>
      <c r="F12" s="3" t="s">
        <v>51</v>
      </c>
      <c r="G12" s="5"/>
      <c r="H12" s="6"/>
      <c r="I12" s="3"/>
    </row>
    <row r="13" spans="1:9" ht="43.5" customHeight="1" x14ac:dyDescent="0.25">
      <c r="A13" s="2" t="s">
        <v>52</v>
      </c>
      <c r="B13" s="3" t="s">
        <v>43</v>
      </c>
      <c r="C13" s="3" t="s">
        <v>53</v>
      </c>
      <c r="D13" s="3" t="s">
        <v>45</v>
      </c>
      <c r="E13" s="4" t="s">
        <v>54</v>
      </c>
      <c r="F13" s="3" t="s">
        <v>55</v>
      </c>
      <c r="G13" s="5"/>
      <c r="H13" s="6"/>
      <c r="I13" s="3"/>
    </row>
    <row r="14" spans="1:9" ht="43.5" customHeight="1" x14ac:dyDescent="0.25">
      <c r="A14" s="2" t="s">
        <v>56</v>
      </c>
      <c r="B14" s="3" t="s">
        <v>43</v>
      </c>
      <c r="C14" s="3" t="s">
        <v>57</v>
      </c>
      <c r="D14" s="3" t="s">
        <v>45</v>
      </c>
      <c r="E14" s="4" t="s">
        <v>58</v>
      </c>
      <c r="F14" s="3" t="s">
        <v>55</v>
      </c>
      <c r="G14" s="5"/>
      <c r="H14" s="6"/>
      <c r="I14" s="3"/>
    </row>
    <row r="15" spans="1:9" ht="43.5" customHeight="1" x14ac:dyDescent="0.25">
      <c r="A15" s="2" t="s">
        <v>59</v>
      </c>
      <c r="B15" s="3" t="s">
        <v>43</v>
      </c>
      <c r="C15" s="3" t="s">
        <v>60</v>
      </c>
      <c r="D15" s="3" t="s">
        <v>45</v>
      </c>
      <c r="E15" s="4" t="s">
        <v>61</v>
      </c>
      <c r="F15" s="3" t="s">
        <v>55</v>
      </c>
      <c r="G15" s="5"/>
      <c r="H15" s="6"/>
      <c r="I15" s="3"/>
    </row>
    <row r="16" spans="1:9" ht="43.5" customHeight="1" x14ac:dyDescent="0.25">
      <c r="A16" s="2" t="s">
        <v>62</v>
      </c>
      <c r="B16" s="3" t="s">
        <v>63</v>
      </c>
      <c r="C16" s="3" t="s">
        <v>64</v>
      </c>
      <c r="D16" s="3" t="s">
        <v>65</v>
      </c>
      <c r="E16" s="4" t="s">
        <v>66</v>
      </c>
      <c r="F16" s="3" t="s">
        <v>67</v>
      </c>
      <c r="G16" s="5"/>
      <c r="H16" s="6"/>
      <c r="I16" s="3"/>
    </row>
    <row r="17" spans="1:9" ht="43.5" customHeight="1" x14ac:dyDescent="0.25">
      <c r="A17" s="2" t="s">
        <v>68</v>
      </c>
      <c r="B17" s="3" t="s">
        <v>63</v>
      </c>
      <c r="C17" s="3" t="s">
        <v>69</v>
      </c>
      <c r="D17" s="3" t="s">
        <v>65</v>
      </c>
      <c r="E17" s="4" t="s">
        <v>70</v>
      </c>
      <c r="F17" s="3" t="s">
        <v>71</v>
      </c>
      <c r="G17" s="5"/>
      <c r="H17" s="6"/>
      <c r="I17" s="3"/>
    </row>
    <row r="18" spans="1:9" ht="43.5" customHeight="1" x14ac:dyDescent="0.25">
      <c r="A18" s="2" t="s">
        <v>72</v>
      </c>
      <c r="B18" s="3" t="s">
        <v>63</v>
      </c>
      <c r="C18" s="3" t="s">
        <v>73</v>
      </c>
      <c r="D18" s="3" t="s">
        <v>65</v>
      </c>
      <c r="E18" s="4" t="s">
        <v>74</v>
      </c>
      <c r="F18" s="3" t="s">
        <v>71</v>
      </c>
      <c r="G18" s="5"/>
      <c r="H18" s="6"/>
      <c r="I18" s="3"/>
    </row>
    <row r="19" spans="1:9" ht="43.5" customHeight="1" x14ac:dyDescent="0.25">
      <c r="A19" s="2" t="s">
        <v>75</v>
      </c>
      <c r="B19" s="3" t="s">
        <v>63</v>
      </c>
      <c r="C19" s="3" t="s">
        <v>76</v>
      </c>
      <c r="D19" s="3" t="s">
        <v>65</v>
      </c>
      <c r="E19" s="4" t="s">
        <v>77</v>
      </c>
      <c r="F19" s="3" t="s">
        <v>55</v>
      </c>
      <c r="G19" s="5"/>
      <c r="H19" s="6"/>
      <c r="I19" s="3"/>
    </row>
  </sheetData>
  <mergeCells count="2">
    <mergeCell ref="A1:I1"/>
    <mergeCell ref="A2:I2"/>
  </mergeCells>
  <dataValidations count="1">
    <dataValidation type="list" allowBlank="1" sqref="H4:H19" xr:uid="{00000000-0002-0000-0000-000000000000}">
      <formula1>"Pass,Fail"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Normal="100" workbookViewId="0"/>
  </sheetViews>
  <sheetFormatPr defaultColWidth="8.7109375" defaultRowHeight="15" x14ac:dyDescent="0.25"/>
  <cols>
    <col min="1" max="1" width="26" customWidth="1"/>
    <col min="2" max="2" width="14" customWidth="1"/>
  </cols>
  <sheetData>
    <row r="1" spans="1:2" ht="18" x14ac:dyDescent="0.25">
      <c r="A1" s="7" t="s">
        <v>78</v>
      </c>
    </row>
    <row r="3" spans="1:2" x14ac:dyDescent="0.25">
      <c r="A3" s="8" t="s">
        <v>79</v>
      </c>
      <c r="B3" s="9">
        <f>COUNTA('Test case'!A4:A19)</f>
        <v>16</v>
      </c>
    </row>
    <row r="4" spans="1:2" x14ac:dyDescent="0.25">
      <c r="A4" s="10" t="s">
        <v>80</v>
      </c>
      <c r="B4" s="11">
        <f>COUNTIF('Test case'!H4:H19,"Pass")</f>
        <v>0</v>
      </c>
    </row>
    <row r="5" spans="1:2" x14ac:dyDescent="0.25">
      <c r="A5" s="10" t="s">
        <v>81</v>
      </c>
      <c r="B5" s="11">
        <f>COUNTIF('Test case'!H4:H19,"Fail")</f>
        <v>0</v>
      </c>
    </row>
    <row r="6" spans="1:2" x14ac:dyDescent="0.25">
      <c r="A6" s="10" t="s">
        <v>82</v>
      </c>
      <c r="B6" s="11">
        <f>B3-B4-B5</f>
        <v>16</v>
      </c>
    </row>
    <row r="7" spans="1:2" x14ac:dyDescent="0.25">
      <c r="A7" s="10" t="s">
        <v>83</v>
      </c>
      <c r="B7" s="12">
        <f>IF(B3=0,0,B4/B3)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</vt:lpstr>
      <vt:lpstr>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thanh phung</cp:lastModifiedBy>
  <cp:revision>0</cp:revision>
  <dcterms:created xsi:type="dcterms:W3CDTF">2026-10-17T12:49:31Z</dcterms:created>
  <dcterms:modified xsi:type="dcterms:W3CDTF">2026-10-17T12:57:44Z</dcterms:modified>
  <dc:language>en-US</dc:language>
</cp:coreProperties>
</file>